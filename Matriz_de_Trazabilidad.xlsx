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-PC\Documents\Prueba seek\"/>
    </mc:Choice>
  </mc:AlternateContent>
  <xr:revisionPtr revIDLastSave="0" documentId="8_{61B2A578-9024-4F3A-B384-0C39B109CD9B}" xr6:coauthVersionLast="47" xr6:coauthVersionMax="47" xr10:uidLastSave="{00000000-0000-0000-0000-000000000000}"/>
  <bookViews>
    <workbookView xWindow="20370" yWindow="-120" windowWidth="19440" windowHeight="10320" activeTab="4" xr2:uid="{00000000-000D-0000-FFFF-FFFF00000000}"/>
  </bookViews>
  <sheets>
    <sheet name="Requirements" sheetId="1" r:id="rId1"/>
    <sheet name="Test Cases" sheetId="2" r:id="rId2"/>
    <sheet name="Defects" sheetId="3" r:id="rId3"/>
    <sheet name="Traceability" sheetId="4" r:id="rId4"/>
    <sheet name="Summary" sheetId="5" r:id="rId5"/>
  </sheets>
  <definedNames>
    <definedName name="_xlnm._FilterDatabase" localSheetId="2" hidden="1">Defects!$A$1:$L$2</definedName>
    <definedName name="_xlnm._FilterDatabase" localSheetId="0" hidden="1">Requirements!$A$1:$G$10</definedName>
    <definedName name="_xlnm._FilterDatabase" localSheetId="4" hidden="1">Summary!$A$1:$B$1</definedName>
    <definedName name="_xlnm._FilterDatabase" localSheetId="1" hidden="1">'Test Cases'!$A$1:$N$8</definedName>
    <definedName name="_xlnm._FilterDatabase" localSheetId="3" hidden="1">Traceability!$A$1:$L$10</definedName>
  </definedNames>
  <calcPr calcId="191029"/>
</workbook>
</file>

<file path=xl/calcChain.xml><?xml version="1.0" encoding="utf-8"?>
<calcChain xmlns="http://schemas.openxmlformats.org/spreadsheetml/2006/main">
  <c r="B3" i="5" l="1"/>
  <c r="K2" i="4"/>
  <c r="B9" i="5"/>
  <c r="B8" i="5"/>
  <c r="B6" i="5"/>
  <c r="B7" i="5" s="1"/>
  <c r="B5" i="5"/>
  <c r="B2" i="5"/>
  <c r="I10" i="4"/>
  <c r="H10" i="4"/>
  <c r="G10" i="4"/>
  <c r="F10" i="4"/>
  <c r="E10" i="4"/>
  <c r="I9" i="4"/>
  <c r="H9" i="4"/>
  <c r="G9" i="4"/>
  <c r="F9" i="4"/>
  <c r="E9" i="4"/>
  <c r="I8" i="4"/>
  <c r="H8" i="4"/>
  <c r="G8" i="4"/>
  <c r="F8" i="4"/>
  <c r="E8" i="4"/>
  <c r="I7" i="4"/>
  <c r="H7" i="4"/>
  <c r="G7" i="4"/>
  <c r="F7" i="4"/>
  <c r="E7" i="4"/>
  <c r="I6" i="4"/>
  <c r="H6" i="4"/>
  <c r="G6" i="4"/>
  <c r="F6" i="4"/>
  <c r="E6" i="4"/>
  <c r="I5" i="4"/>
  <c r="H5" i="4"/>
  <c r="G5" i="4"/>
  <c r="F5" i="4"/>
  <c r="E5" i="4"/>
  <c r="I4" i="4"/>
  <c r="H4" i="4"/>
  <c r="G4" i="4"/>
  <c r="F4" i="4"/>
  <c r="E4" i="4"/>
  <c r="I3" i="4"/>
  <c r="H3" i="4"/>
  <c r="G3" i="4"/>
  <c r="F3" i="4"/>
  <c r="E3" i="4"/>
  <c r="I2" i="4"/>
  <c r="H2" i="4"/>
  <c r="G2" i="4"/>
  <c r="F2" i="4"/>
  <c r="E2" i="4"/>
  <c r="B4" i="5" l="1"/>
  <c r="K3" i="4"/>
  <c r="K5" i="4"/>
  <c r="K7" i="4"/>
  <c r="K9" i="4"/>
  <c r="K6" i="4"/>
  <c r="K8" i="4"/>
  <c r="J9" i="4"/>
  <c r="K10" i="4"/>
  <c r="J2" i="4"/>
  <c r="K4" i="4"/>
  <c r="J8" i="4"/>
  <c r="J7" i="4"/>
  <c r="J6" i="4"/>
  <c r="J5" i="4"/>
  <c r="J4" i="4"/>
  <c r="J3" i="4"/>
  <c r="J10" i="4"/>
</calcChain>
</file>

<file path=xl/sharedStrings.xml><?xml version="1.0" encoding="utf-8"?>
<sst xmlns="http://schemas.openxmlformats.org/spreadsheetml/2006/main" count="227" uniqueCount="120">
  <si>
    <t>Req ID</t>
  </si>
  <si>
    <t>Tipo</t>
  </si>
  <si>
    <t>Prioridad</t>
  </si>
  <si>
    <t>Requisito / Historia de Usuario</t>
  </si>
  <si>
    <t>Estado</t>
  </si>
  <si>
    <t>Owner</t>
  </si>
  <si>
    <t>Notas</t>
  </si>
  <si>
    <t>FR-001</t>
  </si>
  <si>
    <t>Funcional</t>
  </si>
  <si>
    <t>P1</t>
  </si>
  <si>
    <t>El usuario puede registrarse mediante formulario con validaciones (email único).</t>
  </si>
  <si>
    <t>Approved</t>
  </si>
  <si>
    <t>Product</t>
  </si>
  <si>
    <t>FR-002</t>
  </si>
  <si>
    <t>El usuario puede iniciar sesión con email y contraseña; sesión segura.</t>
  </si>
  <si>
    <t>FR-003</t>
  </si>
  <si>
    <t>El usuario puede subir imágenes con descripción; se muestran en feed y perfil.</t>
  </si>
  <si>
    <t>FR-004</t>
  </si>
  <si>
    <t>El usuario puede comentar publicaciones y ver persistencia al recargar.</t>
  </si>
  <si>
    <t>FR-005</t>
  </si>
  <si>
    <t>P2</t>
  </si>
  <si>
    <t>El usuario puede reaccionar (like/unlike) de forma idempotente.</t>
  </si>
  <si>
    <t>FR-006</t>
  </si>
  <si>
    <t>El usuario puede enviar/recibir mensajes privados y ver historial.</t>
  </si>
  <si>
    <t>FR-007</t>
  </si>
  <si>
    <t>El usuario puede editar su perfil (bio, foto, username) con validaciones.</t>
  </si>
  <si>
    <t>No funcional</t>
  </si>
  <si>
    <t>Performance: carga inicial &lt; 3s y feed &lt; 2s en condiciones estándar.</t>
  </si>
  <si>
    <t>Arquitectura</t>
  </si>
  <si>
    <t>Compatibilidad: Chrome/Firefox/Edge/Safari (últimas 2 versiones).</t>
  </si>
  <si>
    <t>In Review</t>
  </si>
  <si>
    <t>QA</t>
  </si>
  <si>
    <t>TC ID</t>
  </si>
  <si>
    <t>Título</t>
  </si>
  <si>
    <t>Req IDs</t>
  </si>
  <si>
    <t>Precondiciones</t>
  </si>
  <si>
    <t>Pasos (resumen)</t>
  </si>
  <si>
    <t>Resultado esperado</t>
  </si>
  <si>
    <t>Estatus</t>
  </si>
  <si>
    <t>Fecha ejecución</t>
  </si>
  <si>
    <t>Tester</t>
  </si>
  <si>
    <t>Evidencia (URL/Ruta)</t>
  </si>
  <si>
    <t>Defectos (IDs)</t>
  </si>
  <si>
    <t>Comentarios</t>
  </si>
  <si>
    <t>TC-001</t>
  </si>
  <si>
    <t>Registro exitoso con datos válidos</t>
  </si>
  <si>
    <t>Usuario no autenticado</t>
  </si>
  <si>
    <t>Completar formulario válido y enviar</t>
  </si>
  <si>
    <t>Cuenta creada y redirección a login o sesión activa</t>
  </si>
  <si>
    <t>PASS</t>
  </si>
  <si>
    <t>TC-002</t>
  </si>
  <si>
    <t>FAIL</t>
  </si>
  <si>
    <t>TC-003</t>
  </si>
  <si>
    <t>Login fallido por contraseña incorrecta</t>
  </si>
  <si>
    <t>Usuario registrado</t>
  </si>
  <si>
    <t>Ingresar email válido + password incorrecta</t>
  </si>
  <si>
    <t>Mensaje genérico de credenciales inválidas; sin sesión</t>
  </si>
  <si>
    <t>TC-004</t>
  </si>
  <si>
    <t>Crear post subiendo imagen + descripción</t>
  </si>
  <si>
    <t>Usuario autenticado</t>
  </si>
  <si>
    <t>Seleccionar imagen, escribir descripción, publicar</t>
  </si>
  <si>
    <t>Post visible en feed y perfil; imagen correcta</t>
  </si>
  <si>
    <t>TC-005</t>
  </si>
  <si>
    <t>Comentar y reaccionar a un post</t>
  </si>
  <si>
    <t>FR-004, FR-005</t>
  </si>
  <si>
    <t>Usuario autenticado; post visible</t>
  </si>
  <si>
    <t>Dar like y publicar comentario</t>
  </si>
  <si>
    <t>Like y comentario persisten tras recargar</t>
  </si>
  <si>
    <t>TC-006</t>
  </si>
  <si>
    <t>Enviar DM y verificar recepción</t>
  </si>
  <si>
    <t>2 usuarios existentes; no bloqueados</t>
  </si>
  <si>
    <t>Enviar mensaje y verificar en receptor</t>
  </si>
  <si>
    <t>Mensaje llega y queda en historial</t>
  </si>
  <si>
    <t>BUG-101</t>
  </si>
  <si>
    <t>TC-007</t>
  </si>
  <si>
    <t>Performance carga inicial &lt; 3s</t>
  </si>
  <si>
    <t>Ambiente estable</t>
  </si>
  <si>
    <t>Cumple SLA &lt; 3s</t>
  </si>
  <si>
    <t>Compatibilidad Edge - UI sin quiebres</t>
  </si>
  <si>
    <t>Edge última versión</t>
  </si>
  <si>
    <t>Navegar registro/login/feed/perfil</t>
  </si>
  <si>
    <t>Sin desbordes ni fallos de UI críticos</t>
  </si>
  <si>
    <t>BLOCKED</t>
  </si>
  <si>
    <t>Pendiente ejecución en Safari/Edge lab</t>
  </si>
  <si>
    <t>Bug ID</t>
  </si>
  <si>
    <t>Resumen</t>
  </si>
  <si>
    <t>Severidad</t>
  </si>
  <si>
    <t>Ambiente</t>
  </si>
  <si>
    <t>Fecha</t>
  </si>
  <si>
    <t>Assignee</t>
  </si>
  <si>
    <t>Evidencia</t>
  </si>
  <si>
    <t>Permite registrar usuario con email ya registrado</t>
  </si>
  <si>
    <t>Alta</t>
  </si>
  <si>
    <t>Open</t>
  </si>
  <si>
    <t>2026-02-15</t>
  </si>
  <si>
    <t>Dev Team</t>
  </si>
  <si>
    <t>Requisito</t>
  </si>
  <si>
    <t>#TCs</t>
  </si>
  <si>
    <t>#PASS</t>
  </si>
  <si>
    <t>#FAIL</t>
  </si>
  <si>
    <t>#BLOCKED</t>
  </si>
  <si>
    <t>#Open Defects</t>
  </si>
  <si>
    <t>Cobertura %</t>
  </si>
  <si>
    <t>Estado QA</t>
  </si>
  <si>
    <t>KPI</t>
  </si>
  <si>
    <t>Valor</t>
  </si>
  <si>
    <t>Total Requirements</t>
  </si>
  <si>
    <t>Cobertura Requirements</t>
  </si>
  <si>
    <t>Total Test Cases</t>
  </si>
  <si>
    <t>Executed (PASS+FAIL+BLOCKED)</t>
  </si>
  <si>
    <t>Total Defects</t>
  </si>
  <si>
    <t>Open Defects</t>
  </si>
  <si>
    <t>El usuario puede reaccionar (like/unlike)</t>
  </si>
  <si>
    <t>NFT-001</t>
  </si>
  <si>
    <t>NFT-003</t>
  </si>
  <si>
    <t>P0</t>
  </si>
  <si>
    <t>carga inicial</t>
  </si>
  <si>
    <t>BUG-001</t>
  </si>
  <si>
    <t>Requirements con cobertura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</si>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</sst>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workbookViewId="0">
      <pane ySplit="1" topLeftCell="A2" activePane="bottomLeft" state="frozen"/>
      <selection pane="bottomLeft" activeCell="B12" sqref="B12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0" customWidth="1"/>
    <col min="4" max="4" width="65" customWidth="1"/>
    <col min="5" max="5" width="12" customWidth="1"/>
    <col min="6" max="6" width="16" customWidth="1"/>
    <col min="7" max="7" width="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25">
      <c r="A2" s="2" t="s">
        <v>7</v>
      </c>
      <c r="B2" s="2" t="s">
        <v>8</v>
      </c>
      <c r="C2" s="2" t="s">
        <v>115</v>
      </c>
      <c r="D2" s="2" t="s">
        <v>10</v>
      </c>
      <c r="E2" s="2" t="s">
        <v>11</v>
      </c>
      <c r="F2" s="2" t="s">
        <v>12</v>
      </c>
      <c r="G2" s="2"/>
    </row>
    <row r="3" spans="1:7" x14ac:dyDescent="0.25">
      <c r="A3" s="2" t="s">
        <v>13</v>
      </c>
      <c r="B3" s="2" t="s">
        <v>8</v>
      </c>
      <c r="C3" s="2" t="s">
        <v>9</v>
      </c>
      <c r="D3" s="2" t="s">
        <v>14</v>
      </c>
      <c r="E3" s="2" t="s">
        <v>11</v>
      </c>
      <c r="F3" s="2" t="s">
        <v>12</v>
      </c>
      <c r="G3" s="2"/>
    </row>
    <row r="4" spans="1:7" ht="30" x14ac:dyDescent="0.25">
      <c r="A4" s="2" t="s">
        <v>15</v>
      </c>
      <c r="B4" s="2" t="s">
        <v>8</v>
      </c>
      <c r="C4" s="2" t="s">
        <v>9</v>
      </c>
      <c r="D4" s="2" t="s">
        <v>16</v>
      </c>
      <c r="E4" s="2" t="s">
        <v>11</v>
      </c>
      <c r="F4" s="2" t="s">
        <v>12</v>
      </c>
      <c r="G4" s="2"/>
    </row>
    <row r="5" spans="1:7" x14ac:dyDescent="0.25">
      <c r="A5" s="2" t="s">
        <v>17</v>
      </c>
      <c r="B5" s="2" t="s">
        <v>8</v>
      </c>
      <c r="C5" s="2" t="s">
        <v>9</v>
      </c>
      <c r="D5" s="2" t="s">
        <v>18</v>
      </c>
      <c r="E5" s="2" t="s">
        <v>11</v>
      </c>
      <c r="F5" s="2" t="s">
        <v>12</v>
      </c>
      <c r="G5" s="2"/>
    </row>
    <row r="6" spans="1:7" x14ac:dyDescent="0.25">
      <c r="A6" s="2" t="s">
        <v>19</v>
      </c>
      <c r="B6" s="2" t="s">
        <v>8</v>
      </c>
      <c r="C6" s="2" t="s">
        <v>20</v>
      </c>
      <c r="D6" s="2" t="s">
        <v>21</v>
      </c>
      <c r="E6" s="2" t="s">
        <v>11</v>
      </c>
      <c r="F6" s="2" t="s">
        <v>12</v>
      </c>
      <c r="G6" s="2"/>
    </row>
    <row r="7" spans="1:7" x14ac:dyDescent="0.25">
      <c r="A7" s="2" t="s">
        <v>22</v>
      </c>
      <c r="B7" s="2" t="s">
        <v>8</v>
      </c>
      <c r="C7" s="2" t="s">
        <v>9</v>
      </c>
      <c r="D7" s="2" t="s">
        <v>23</v>
      </c>
      <c r="E7" s="2" t="s">
        <v>11</v>
      </c>
      <c r="F7" s="2" t="s">
        <v>12</v>
      </c>
      <c r="G7" s="2"/>
    </row>
    <row r="8" spans="1:7" ht="30" x14ac:dyDescent="0.25">
      <c r="A8" s="2" t="s">
        <v>24</v>
      </c>
      <c r="B8" s="2" t="s">
        <v>8</v>
      </c>
      <c r="C8" s="2" t="s">
        <v>20</v>
      </c>
      <c r="D8" s="2" t="s">
        <v>25</v>
      </c>
      <c r="E8" s="2" t="s">
        <v>11</v>
      </c>
      <c r="F8" s="2" t="s">
        <v>12</v>
      </c>
      <c r="G8" s="2"/>
    </row>
    <row r="9" spans="1:7" x14ac:dyDescent="0.25">
      <c r="A9" s="2" t="s">
        <v>113</v>
      </c>
      <c r="B9" s="2" t="s">
        <v>26</v>
      </c>
      <c r="C9" s="2" t="s">
        <v>9</v>
      </c>
      <c r="D9" s="2" t="s">
        <v>27</v>
      </c>
      <c r="E9" s="2" t="s">
        <v>11</v>
      </c>
      <c r="F9" s="2" t="s">
        <v>28</v>
      </c>
      <c r="G9" s="2"/>
    </row>
    <row r="10" spans="1:7" x14ac:dyDescent="0.25">
      <c r="A10" s="2" t="s">
        <v>114</v>
      </c>
      <c r="B10" s="2" t="s">
        <v>26</v>
      </c>
      <c r="C10" s="2" t="s">
        <v>9</v>
      </c>
      <c r="D10" s="2" t="s">
        <v>29</v>
      </c>
      <c r="E10" s="2" t="s">
        <v>30</v>
      </c>
      <c r="F10" s="2" t="s">
        <v>31</v>
      </c>
      <c r="G10" s="2"/>
    </row>
  </sheetData>
  <autoFilter ref="A1:G1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"/>
  <sheetViews>
    <sheetView showGridLines="0" workbookViewId="0">
      <pane ySplit="1" topLeftCell="A2" activePane="bottomLeft" state="frozen"/>
      <selection pane="bottomLeft" activeCell="E9" sqref="E9"/>
    </sheetView>
  </sheetViews>
  <sheetFormatPr baseColWidth="10" defaultColWidth="9.140625" defaultRowHeight="15" x14ac:dyDescent="0.25"/>
  <cols>
    <col min="1" max="1" width="10" customWidth="1"/>
    <col min="2" max="2" width="38" customWidth="1"/>
    <col min="3" max="3" width="12" customWidth="1"/>
    <col min="4" max="4" width="10" customWidth="1"/>
    <col min="5" max="5" width="18" customWidth="1"/>
    <col min="6" max="6" width="20" customWidth="1"/>
    <col min="7" max="8" width="28" customWidth="1"/>
    <col min="9" max="9" width="12" customWidth="1"/>
    <col min="10" max="10" width="14" customWidth="1"/>
    <col min="11" max="11" width="10" customWidth="1"/>
    <col min="12" max="12" width="22" customWidth="1"/>
    <col min="13" max="13" width="16" customWidth="1"/>
    <col min="14" max="14" width="18" customWidth="1"/>
  </cols>
  <sheetData>
    <row r="1" spans="1:14" ht="30" x14ac:dyDescent="0.25">
      <c r="A1" s="1" t="s">
        <v>32</v>
      </c>
      <c r="B1" s="1" t="s">
        <v>33</v>
      </c>
      <c r="C1" s="1" t="s">
        <v>1</v>
      </c>
      <c r="D1" s="1" t="s">
        <v>2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</row>
    <row r="2" spans="1:14" ht="30" x14ac:dyDescent="0.25">
      <c r="A2" s="2" t="s">
        <v>44</v>
      </c>
      <c r="B2" s="2" t="s">
        <v>45</v>
      </c>
      <c r="C2" s="2" t="s">
        <v>8</v>
      </c>
      <c r="D2" s="2" t="s">
        <v>9</v>
      </c>
      <c r="E2" s="2" t="s">
        <v>7</v>
      </c>
      <c r="F2" s="2" t="s">
        <v>46</v>
      </c>
      <c r="G2" s="2" t="s">
        <v>47</v>
      </c>
      <c r="H2" s="2" t="s">
        <v>48</v>
      </c>
      <c r="I2" s="2" t="s">
        <v>49</v>
      </c>
      <c r="J2" s="2"/>
      <c r="K2" s="2" t="s">
        <v>31</v>
      </c>
      <c r="L2" s="2"/>
      <c r="M2" s="2"/>
      <c r="N2" s="2"/>
    </row>
    <row r="3" spans="1:14" ht="45" x14ac:dyDescent="0.25">
      <c r="A3" s="2" t="s">
        <v>50</v>
      </c>
      <c r="B3" s="2" t="s">
        <v>53</v>
      </c>
      <c r="C3" s="2" t="s">
        <v>8</v>
      </c>
      <c r="D3" s="2" t="s">
        <v>9</v>
      </c>
      <c r="E3" s="2" t="s">
        <v>13</v>
      </c>
      <c r="F3" s="2" t="s">
        <v>54</v>
      </c>
      <c r="G3" s="2" t="s">
        <v>55</v>
      </c>
      <c r="H3" s="2" t="s">
        <v>56</v>
      </c>
      <c r="I3" s="2" t="s">
        <v>49</v>
      </c>
      <c r="J3" s="2"/>
      <c r="K3" s="2" t="s">
        <v>31</v>
      </c>
      <c r="L3" s="2"/>
      <c r="M3" s="2"/>
      <c r="N3" s="2"/>
    </row>
    <row r="4" spans="1:14" ht="30" x14ac:dyDescent="0.25">
      <c r="A4" s="2" t="s">
        <v>52</v>
      </c>
      <c r="B4" s="2" t="s">
        <v>58</v>
      </c>
      <c r="C4" s="2" t="s">
        <v>8</v>
      </c>
      <c r="D4" s="2" t="s">
        <v>9</v>
      </c>
      <c r="E4" s="2" t="s">
        <v>15</v>
      </c>
      <c r="F4" s="2" t="s">
        <v>59</v>
      </c>
      <c r="G4" s="2" t="s">
        <v>60</v>
      </c>
      <c r="H4" s="2" t="s">
        <v>61</v>
      </c>
      <c r="I4" s="2" t="s">
        <v>49</v>
      </c>
      <c r="J4" s="2"/>
      <c r="K4" s="2" t="s">
        <v>31</v>
      </c>
      <c r="L4" s="2"/>
      <c r="M4" s="2"/>
      <c r="N4" s="2"/>
    </row>
    <row r="5" spans="1:14" ht="30" x14ac:dyDescent="0.25">
      <c r="A5" s="2" t="s">
        <v>57</v>
      </c>
      <c r="B5" s="2" t="s">
        <v>63</v>
      </c>
      <c r="C5" s="2" t="s">
        <v>8</v>
      </c>
      <c r="D5" s="2" t="s">
        <v>9</v>
      </c>
      <c r="E5" s="2" t="s">
        <v>64</v>
      </c>
      <c r="F5" s="2" t="s">
        <v>65</v>
      </c>
      <c r="G5" s="2" t="s">
        <v>66</v>
      </c>
      <c r="H5" s="2" t="s">
        <v>67</v>
      </c>
      <c r="I5" s="2" t="s">
        <v>49</v>
      </c>
      <c r="J5" s="2"/>
      <c r="K5" s="2" t="s">
        <v>31</v>
      </c>
      <c r="L5" s="2"/>
      <c r="M5" s="2"/>
      <c r="N5" s="2"/>
    </row>
    <row r="6" spans="1:14" ht="45" x14ac:dyDescent="0.25">
      <c r="A6" s="2" t="s">
        <v>62</v>
      </c>
      <c r="B6" s="2" t="s">
        <v>69</v>
      </c>
      <c r="C6" s="2" t="s">
        <v>8</v>
      </c>
      <c r="D6" s="2" t="s">
        <v>9</v>
      </c>
      <c r="E6" s="2" t="s">
        <v>22</v>
      </c>
      <c r="F6" s="2" t="s">
        <v>70</v>
      </c>
      <c r="G6" s="2" t="s">
        <v>71</v>
      </c>
      <c r="H6" s="2" t="s">
        <v>72</v>
      </c>
      <c r="I6" s="2" t="s">
        <v>51</v>
      </c>
      <c r="J6" s="2"/>
      <c r="K6" s="2" t="s">
        <v>31</v>
      </c>
      <c r="L6" s="2"/>
      <c r="M6" s="2" t="s">
        <v>73</v>
      </c>
      <c r="N6" s="2"/>
    </row>
    <row r="7" spans="1:14" ht="30" x14ac:dyDescent="0.25">
      <c r="A7" s="2" t="s">
        <v>68</v>
      </c>
      <c r="B7" s="2" t="s">
        <v>75</v>
      </c>
      <c r="C7" s="2" t="s">
        <v>26</v>
      </c>
      <c r="D7" s="2" t="s">
        <v>9</v>
      </c>
      <c r="E7" s="2" t="s">
        <v>113</v>
      </c>
      <c r="F7" s="2" t="s">
        <v>76</v>
      </c>
      <c r="G7" s="2" t="s">
        <v>116</v>
      </c>
      <c r="H7" s="2" t="s">
        <v>77</v>
      </c>
      <c r="I7" s="2" t="s">
        <v>49</v>
      </c>
      <c r="J7" s="2"/>
      <c r="K7" s="2" t="s">
        <v>31</v>
      </c>
      <c r="L7" s="2"/>
      <c r="M7" s="2"/>
      <c r="N7" s="2"/>
    </row>
    <row r="8" spans="1:14" ht="45" x14ac:dyDescent="0.25">
      <c r="A8" s="2" t="s">
        <v>74</v>
      </c>
      <c r="B8" s="2" t="s">
        <v>78</v>
      </c>
      <c r="C8" s="2" t="s">
        <v>26</v>
      </c>
      <c r="D8" s="2" t="s">
        <v>20</v>
      </c>
      <c r="E8" s="2" t="s">
        <v>114</v>
      </c>
      <c r="F8" s="2" t="s">
        <v>79</v>
      </c>
      <c r="G8" s="2" t="s">
        <v>80</v>
      </c>
      <c r="H8" s="2" t="s">
        <v>81</v>
      </c>
      <c r="I8" s="2" t="s">
        <v>82</v>
      </c>
      <c r="J8" s="2"/>
      <c r="K8" s="2" t="s">
        <v>31</v>
      </c>
      <c r="L8" s="2"/>
      <c r="M8" s="2"/>
      <c r="N8" s="2" t="s">
        <v>83</v>
      </c>
    </row>
  </sheetData>
  <autoFilter ref="A1:N8" xr:uid="{00000000-0009-0000-0000-000001000000}"/>
  <phoneticPr fontId="2" type="noConversion"/>
  <conditionalFormatting sqref="I2:I8">
    <cfRule type="expression" dxfId="4" priority="1">
      <formula>$I2="PASS"</formula>
    </cfRule>
    <cfRule type="expression" dxfId="3" priority="2">
      <formula>$I2="FAIL"</formula>
    </cfRule>
    <cfRule type="expression" dxfId="2" priority="3">
      <formula>$I2="BLOCKED"</formula>
    </cfRule>
  </conditionalFormatting>
  <dataValidations count="1">
    <dataValidation type="list" allowBlank="1" sqref="I2:I8" xr:uid="{00000000-0002-0000-0100-000000000000}">
      <formula1>"NOT RUN,PASS,FAIL,BLOCKED"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showGridLines="0" workbookViewId="0">
      <pane ySplit="1" topLeftCell="A2" activePane="bottomLeft" state="frozen"/>
      <selection pane="bottomLeft" activeCell="B7" sqref="B7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3" width="11" customWidth="1"/>
    <col min="4" max="5" width="10" customWidth="1"/>
    <col min="6" max="6" width="18" customWidth="1"/>
    <col min="7" max="8" width="10" customWidth="1"/>
    <col min="9" max="9" width="12" customWidth="1"/>
    <col min="10" max="10" width="16" customWidth="1"/>
    <col min="11" max="11" width="20" customWidth="1"/>
    <col min="12" max="12" width="22" customWidth="1"/>
  </cols>
  <sheetData>
    <row r="1" spans="1:12" x14ac:dyDescent="0.25">
      <c r="A1" s="1" t="s">
        <v>84</v>
      </c>
      <c r="B1" s="1" t="s">
        <v>85</v>
      </c>
      <c r="C1" s="1" t="s">
        <v>86</v>
      </c>
      <c r="D1" s="1" t="s">
        <v>2</v>
      </c>
      <c r="E1" s="1" t="s">
        <v>4</v>
      </c>
      <c r="F1" s="1" t="s">
        <v>34</v>
      </c>
      <c r="G1" s="1" t="s">
        <v>32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6</v>
      </c>
    </row>
    <row r="2" spans="1:12" x14ac:dyDescent="0.25">
      <c r="A2" s="2" t="s">
        <v>117</v>
      </c>
      <c r="B2" s="2" t="s">
        <v>91</v>
      </c>
      <c r="C2" s="2" t="s">
        <v>92</v>
      </c>
      <c r="D2" s="2" t="s">
        <v>9</v>
      </c>
      <c r="E2" s="2" t="s">
        <v>93</v>
      </c>
      <c r="F2" s="2" t="s">
        <v>7</v>
      </c>
      <c r="G2" s="2" t="s">
        <v>50</v>
      </c>
      <c r="H2" s="2" t="s">
        <v>31</v>
      </c>
      <c r="I2" s="2" t="s">
        <v>94</v>
      </c>
      <c r="J2" s="2" t="s">
        <v>95</v>
      </c>
      <c r="K2" s="2"/>
      <c r="L2" s="2"/>
    </row>
  </sheetData>
  <autoFilter ref="A1:L2" xr:uid="{00000000-0009-0000-0000-000002000000}"/>
  <dataValidations count="1">
    <dataValidation type="list" allowBlank="1" sqref="E2" xr:uid="{00000000-0002-0000-0200-000000000000}">
      <formula1>"Open,In Progress,Resolved,Closed"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"/>
  <sheetViews>
    <sheetView showGridLines="0" workbookViewId="0">
      <pane ySplit="1" topLeftCell="A5" activePane="bottomLeft" state="frozen"/>
      <selection pane="bottomLeft" activeCell="K3" sqref="K3"/>
    </sheetView>
  </sheetViews>
  <sheetFormatPr baseColWidth="10" defaultColWidth="9.140625" defaultRowHeight="15" x14ac:dyDescent="0.25"/>
  <cols>
    <col min="1" max="1" width="12" customWidth="1"/>
    <col min="2" max="2" width="14" customWidth="1"/>
    <col min="3" max="3" width="10" customWidth="1"/>
    <col min="4" max="4" width="60" customWidth="1"/>
    <col min="5" max="7" width="8" customWidth="1"/>
    <col min="8" max="8" width="10" customWidth="1"/>
    <col min="9" max="9" width="13" customWidth="1"/>
    <col min="10" max="10" width="12" customWidth="1"/>
    <col min="11" max="11" width="14" customWidth="1"/>
    <col min="12" max="12" width="20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102</v>
      </c>
      <c r="K1" s="1" t="s">
        <v>103</v>
      </c>
      <c r="L1" s="1" t="s">
        <v>6</v>
      </c>
    </row>
    <row r="2" spans="1:12" ht="30" x14ac:dyDescent="0.25">
      <c r="A2" s="2" t="s">
        <v>7</v>
      </c>
      <c r="B2" s="2" t="s">
        <v>8</v>
      </c>
      <c r="C2" s="2" t="s">
        <v>9</v>
      </c>
      <c r="D2" s="2" t="s">
        <v>10</v>
      </c>
      <c r="E2" s="2">
        <f>COUNTIF('Test Cases'!$E$2:$E$195,"*"&amp;A2&amp;"*")</f>
        <v>1</v>
      </c>
      <c r="F2" s="2">
        <f>COUNTIFS('Test Cases'!$E$2:$E$195,"*"&amp;A2&amp;"*",'Test Cases'!$I$2:$I$195,"PASS")</f>
        <v>1</v>
      </c>
      <c r="G2" s="2">
        <f>COUNTIFS('Test Cases'!$E$2:$E$195,"*"&amp;A2&amp;"*",'Test Cases'!$I$2:$I$195,"FAIL")</f>
        <v>0</v>
      </c>
      <c r="H2" s="2">
        <f>COUNTIFS('Test Cases'!$E$2:$E$195,"*"&amp;A2&amp;"*",'Test Cases'!$I$2:$I$195,"BLOCKED")</f>
        <v>0</v>
      </c>
      <c r="I2" s="2">
        <f>COUNTIFS(Defects!$F$2:$F$197,"*"&amp;A2&amp;"*",Defects!$E$2:$E$197,"Open")+COUNTIFS(Defects!$F$2:$F$197,"*"&amp;A2&amp;"*",Defects!$E$2:$E$197,"In Progress")</f>
        <v>1</v>
      </c>
      <c r="J2" s="3">
        <f t="shared" ref="J2:J10" si="0">IF(E2=0,0,(F2+G2+H2)/E2)</f>
        <v>1</v>
      </c>
      <c r="K2" s="2" t="str">
        <f>IF(E2=0,"No Coverage",IF(I2&gt;0,"Bug",IF(G2&gt;0,"Failing",IF(F2=E2,"Pass","In Progress"))))</f>
        <v>Bug</v>
      </c>
      <c r="L2" s="2"/>
    </row>
    <row r="3" spans="1:12" ht="30" x14ac:dyDescent="0.25">
      <c r="A3" s="2" t="s">
        <v>13</v>
      </c>
      <c r="B3" s="2" t="s">
        <v>8</v>
      </c>
      <c r="C3" s="2" t="s">
        <v>9</v>
      </c>
      <c r="D3" s="2" t="s">
        <v>14</v>
      </c>
      <c r="E3" s="2">
        <f>COUNTIF('Test Cases'!$E$2:$E$195,"*"&amp;A3&amp;"*")</f>
        <v>1</v>
      </c>
      <c r="F3" s="2">
        <f>COUNTIFS('Test Cases'!$E$2:$E$195,"*"&amp;A3&amp;"*",'Test Cases'!$I$2:$I$195,"PASS")</f>
        <v>1</v>
      </c>
      <c r="G3" s="2">
        <f>COUNTIFS('Test Cases'!$E$2:$E$195,"*"&amp;A3&amp;"*",'Test Cases'!$I$2:$I$195,"FAIL")</f>
        <v>0</v>
      </c>
      <c r="H3" s="2">
        <f>COUNTIFS('Test Cases'!$E$2:$E$195,"*"&amp;A3&amp;"*",'Test Cases'!$I$2:$I$195,"BLOCKED")</f>
        <v>0</v>
      </c>
      <c r="I3" s="2">
        <f>COUNTIFS(Defects!$F$2:$F$197,"*"&amp;A3&amp;"*",Defects!$E$2:$E$197,"Open")+COUNTIFS(Defects!$F$2:$F$197,"*"&amp;A3&amp;"*",Defects!$E$2:$E$197,"In Progress")</f>
        <v>0</v>
      </c>
      <c r="J3" s="3">
        <f t="shared" si="0"/>
        <v>1</v>
      </c>
      <c r="K3" s="2" t="str">
        <f t="shared" ref="K2:K10" si="1">IF(E3=0,"No Coverage",IF(I3&gt;0,"At Risk",IF(G3&gt;0,"Failing",IF(F3=E3,"Pass","In Progress"))))</f>
        <v>Pass</v>
      </c>
      <c r="L3" s="2"/>
    </row>
    <row r="4" spans="1:12" ht="30" x14ac:dyDescent="0.25">
      <c r="A4" s="2" t="s">
        <v>15</v>
      </c>
      <c r="B4" s="2" t="s">
        <v>8</v>
      </c>
      <c r="C4" s="2" t="s">
        <v>9</v>
      </c>
      <c r="D4" s="2" t="s">
        <v>16</v>
      </c>
      <c r="E4" s="2">
        <f>COUNTIF('Test Cases'!$E$2:$E$195,"*"&amp;A4&amp;"*")</f>
        <v>1</v>
      </c>
      <c r="F4" s="2">
        <f>COUNTIFS('Test Cases'!$E$2:$E$195,"*"&amp;A4&amp;"*",'Test Cases'!$I$2:$I$195,"PASS")</f>
        <v>1</v>
      </c>
      <c r="G4" s="2">
        <f>COUNTIFS('Test Cases'!$E$2:$E$195,"*"&amp;A4&amp;"*",'Test Cases'!$I$2:$I$195,"FAIL")</f>
        <v>0</v>
      </c>
      <c r="H4" s="2">
        <f>COUNTIFS('Test Cases'!$E$2:$E$195,"*"&amp;A4&amp;"*",'Test Cases'!$I$2:$I$195,"BLOCKED")</f>
        <v>0</v>
      </c>
      <c r="I4" s="2">
        <f>COUNTIFS(Defects!$F$2:$F$197,"*"&amp;A4&amp;"*",Defects!$E$2:$E$197,"Open")+COUNTIFS(Defects!$F$2:$F$197,"*"&amp;A4&amp;"*",Defects!$E$2:$E$197,"In Progress")</f>
        <v>0</v>
      </c>
      <c r="J4" s="3">
        <f t="shared" si="0"/>
        <v>1</v>
      </c>
      <c r="K4" s="2" t="str">
        <f t="shared" si="1"/>
        <v>Pass</v>
      </c>
      <c r="L4" s="2"/>
    </row>
    <row r="5" spans="1:12" ht="30" x14ac:dyDescent="0.25">
      <c r="A5" s="2" t="s">
        <v>17</v>
      </c>
      <c r="B5" s="2" t="s">
        <v>8</v>
      </c>
      <c r="C5" s="2" t="s">
        <v>9</v>
      </c>
      <c r="D5" s="2" t="s">
        <v>18</v>
      </c>
      <c r="E5" s="2">
        <f>COUNTIF('Test Cases'!$E$2:$E$195,"*"&amp;A5&amp;"*")</f>
        <v>1</v>
      </c>
      <c r="F5" s="2">
        <f>COUNTIFS('Test Cases'!$E$2:$E$195,"*"&amp;A5&amp;"*",'Test Cases'!$I$2:$I$195,"PASS")</f>
        <v>1</v>
      </c>
      <c r="G5" s="2">
        <f>COUNTIFS('Test Cases'!$E$2:$E$195,"*"&amp;A5&amp;"*",'Test Cases'!$I$2:$I$195,"FAIL")</f>
        <v>0</v>
      </c>
      <c r="H5" s="2">
        <f>COUNTIFS('Test Cases'!$E$2:$E$195,"*"&amp;A5&amp;"*",'Test Cases'!$I$2:$I$195,"BLOCKED")</f>
        <v>0</v>
      </c>
      <c r="I5" s="2">
        <f>COUNTIFS(Defects!$F$2:$F$197,"*"&amp;A5&amp;"*",Defects!$E$2:$E$197,"Open")+COUNTIFS(Defects!$F$2:$F$197,"*"&amp;A5&amp;"*",Defects!$E$2:$E$197,"In Progress")</f>
        <v>0</v>
      </c>
      <c r="J5" s="3">
        <f t="shared" si="0"/>
        <v>1</v>
      </c>
      <c r="K5" s="2" t="str">
        <f t="shared" si="1"/>
        <v>Pass</v>
      </c>
      <c r="L5" s="2"/>
    </row>
    <row r="6" spans="1:12" x14ac:dyDescent="0.25">
      <c r="A6" s="2" t="s">
        <v>19</v>
      </c>
      <c r="B6" s="2" t="s">
        <v>8</v>
      </c>
      <c r="C6" s="2" t="s">
        <v>20</v>
      </c>
      <c r="D6" s="2" t="s">
        <v>112</v>
      </c>
      <c r="E6" s="2">
        <f>COUNTIF('Test Cases'!$E$2:$E$195,"*"&amp;A6&amp;"*")</f>
        <v>1</v>
      </c>
      <c r="F6" s="2">
        <f>COUNTIFS('Test Cases'!$E$2:$E$195,"*"&amp;A6&amp;"*",'Test Cases'!$I$2:$I$195,"PASS")</f>
        <v>1</v>
      </c>
      <c r="G6" s="2">
        <f>COUNTIFS('Test Cases'!$E$2:$E$195,"*"&amp;A6&amp;"*",'Test Cases'!$I$2:$I$195,"FAIL")</f>
        <v>0</v>
      </c>
      <c r="H6" s="2">
        <f>COUNTIFS('Test Cases'!$E$2:$E$195,"*"&amp;A6&amp;"*",'Test Cases'!$I$2:$I$195,"BLOCKED")</f>
        <v>0</v>
      </c>
      <c r="I6" s="2">
        <f>COUNTIFS(Defects!$F$2:$F$197,"*"&amp;A6&amp;"*",Defects!$E$2:$E$197,"Open")+COUNTIFS(Defects!$F$2:$F$197,"*"&amp;A6&amp;"*",Defects!$E$2:$E$197,"In Progress")</f>
        <v>0</v>
      </c>
      <c r="J6" s="3">
        <f t="shared" si="0"/>
        <v>1</v>
      </c>
      <c r="K6" s="2" t="str">
        <f t="shared" si="1"/>
        <v>Pass</v>
      </c>
      <c r="L6" s="2"/>
    </row>
    <row r="7" spans="1:12" x14ac:dyDescent="0.25">
      <c r="A7" s="2" t="s">
        <v>22</v>
      </c>
      <c r="B7" s="2" t="s">
        <v>8</v>
      </c>
      <c r="C7" s="2" t="s">
        <v>9</v>
      </c>
      <c r="D7" s="2" t="s">
        <v>23</v>
      </c>
      <c r="E7" s="2">
        <f>COUNTIF('Test Cases'!$E$2:$E$195,"*"&amp;A7&amp;"*")</f>
        <v>1</v>
      </c>
      <c r="F7" s="2">
        <f>COUNTIFS('Test Cases'!$E$2:$E$195,"*"&amp;A7&amp;"*",'Test Cases'!$I$2:$I$195,"PASS")</f>
        <v>0</v>
      </c>
      <c r="G7" s="2">
        <f>COUNTIFS('Test Cases'!$E$2:$E$195,"*"&amp;A7&amp;"*",'Test Cases'!$I$2:$I$195,"FAIL")</f>
        <v>1</v>
      </c>
      <c r="H7" s="2">
        <f>COUNTIFS('Test Cases'!$E$2:$E$195,"*"&amp;A7&amp;"*",'Test Cases'!$I$2:$I$195,"BLOCKED")</f>
        <v>0</v>
      </c>
      <c r="I7" s="2">
        <f>COUNTIFS(Defects!$F$2:$F$197,"*"&amp;A7&amp;"*",Defects!$E$2:$E$197,"Open")+COUNTIFS(Defects!$F$2:$F$197,"*"&amp;A7&amp;"*",Defects!$E$2:$E$197,"In Progress")</f>
        <v>0</v>
      </c>
      <c r="J7" s="3">
        <f t="shared" si="0"/>
        <v>1</v>
      </c>
      <c r="K7" s="2" t="str">
        <f t="shared" si="1"/>
        <v>Failing</v>
      </c>
      <c r="L7" s="2"/>
    </row>
    <row r="8" spans="1:12" ht="30" x14ac:dyDescent="0.25">
      <c r="A8" s="2" t="s">
        <v>24</v>
      </c>
      <c r="B8" s="2" t="s">
        <v>8</v>
      </c>
      <c r="C8" s="2" t="s">
        <v>20</v>
      </c>
      <c r="D8" s="2" t="s">
        <v>25</v>
      </c>
      <c r="E8" s="2">
        <f>COUNTIF('Test Cases'!$E$2:$E$195,"*"&amp;A8&amp;"*")</f>
        <v>0</v>
      </c>
      <c r="F8" s="2">
        <f>COUNTIFS('Test Cases'!$E$2:$E$195,"*"&amp;A8&amp;"*",'Test Cases'!$I$2:$I$195,"PASS")</f>
        <v>0</v>
      </c>
      <c r="G8" s="2">
        <f>COUNTIFS('Test Cases'!$E$2:$E$195,"*"&amp;A8&amp;"*",'Test Cases'!$I$2:$I$195,"FAIL")</f>
        <v>0</v>
      </c>
      <c r="H8" s="2">
        <f>COUNTIFS('Test Cases'!$E$2:$E$195,"*"&amp;A8&amp;"*",'Test Cases'!$I$2:$I$195,"BLOCKED")</f>
        <v>0</v>
      </c>
      <c r="I8" s="2">
        <f>COUNTIFS(Defects!$F$2:$F$197,"*"&amp;A8&amp;"*",Defects!$E$2:$E$197,"Open")+COUNTIFS(Defects!$F$2:$F$197,"*"&amp;A8&amp;"*",Defects!$E$2:$E$197,"In Progress")</f>
        <v>0</v>
      </c>
      <c r="J8" s="3">
        <f t="shared" si="0"/>
        <v>0</v>
      </c>
      <c r="K8" s="2" t="str">
        <f t="shared" si="1"/>
        <v>No Coverage</v>
      </c>
      <c r="L8" s="2"/>
    </row>
    <row r="9" spans="1:12" ht="30" x14ac:dyDescent="0.25">
      <c r="A9" s="2" t="s">
        <v>113</v>
      </c>
      <c r="B9" s="2" t="s">
        <v>26</v>
      </c>
      <c r="C9" s="2" t="s">
        <v>9</v>
      </c>
      <c r="D9" s="2" t="s">
        <v>27</v>
      </c>
      <c r="E9" s="2">
        <f>COUNTIF('Test Cases'!$E$2:$E$195,"*"&amp;A9&amp;"*")</f>
        <v>1</v>
      </c>
      <c r="F9" s="2">
        <f>COUNTIFS('Test Cases'!$E$2:$E$195,"*"&amp;A9&amp;"*",'Test Cases'!$I$2:$I$195,"PASS")</f>
        <v>1</v>
      </c>
      <c r="G9" s="2">
        <f>COUNTIFS('Test Cases'!$E$2:$E$195,"*"&amp;A9&amp;"*",'Test Cases'!$I$2:$I$195,"FAIL")</f>
        <v>0</v>
      </c>
      <c r="H9" s="2">
        <f>COUNTIFS('Test Cases'!$E$2:$E$195,"*"&amp;A9&amp;"*",'Test Cases'!$I$2:$I$195,"BLOCKED")</f>
        <v>0</v>
      </c>
      <c r="I9" s="2">
        <f>COUNTIFS(Defects!$F$2:$F$197,"*"&amp;A9&amp;"*",Defects!$E$2:$E$197,"Open")+COUNTIFS(Defects!$F$2:$F$197,"*"&amp;A9&amp;"*",Defects!$E$2:$E$197,"In Progress")</f>
        <v>0</v>
      </c>
      <c r="J9" s="3">
        <f t="shared" si="0"/>
        <v>1</v>
      </c>
      <c r="K9" s="2" t="str">
        <f t="shared" si="1"/>
        <v>Pass</v>
      </c>
      <c r="L9" s="2"/>
    </row>
    <row r="10" spans="1:12" ht="30" x14ac:dyDescent="0.25">
      <c r="A10" s="2" t="s">
        <v>114</v>
      </c>
      <c r="B10" s="2" t="s">
        <v>26</v>
      </c>
      <c r="C10" s="2" t="s">
        <v>20</v>
      </c>
      <c r="D10" s="2" t="s">
        <v>29</v>
      </c>
      <c r="E10" s="2">
        <f>COUNTIF('Test Cases'!$E$2:$E$195,"*"&amp;A10&amp;"*")</f>
        <v>1</v>
      </c>
      <c r="F10" s="2">
        <f>COUNTIFS('Test Cases'!$E$2:$E$195,"*"&amp;A10&amp;"*",'Test Cases'!$I$2:$I$195,"PASS")</f>
        <v>0</v>
      </c>
      <c r="G10" s="2">
        <f>COUNTIFS('Test Cases'!$E$2:$E$195,"*"&amp;A10&amp;"*",'Test Cases'!$I$2:$I$195,"FAIL")</f>
        <v>0</v>
      </c>
      <c r="H10" s="2">
        <f>COUNTIFS('Test Cases'!$E$2:$E$195,"*"&amp;A10&amp;"*",'Test Cases'!$I$2:$I$195,"BLOCKED")</f>
        <v>1</v>
      </c>
      <c r="I10" s="2">
        <f>COUNTIFS(Defects!$F$2:$F$197,"*"&amp;A10&amp;"*",Defects!$E$2:$E$197,"Open")+COUNTIFS(Defects!$F$2:$F$197,"*"&amp;A10&amp;"*",Defects!$E$2:$E$197,"In Progress")</f>
        <v>0</v>
      </c>
      <c r="J10" s="3">
        <f t="shared" si="0"/>
        <v>1</v>
      </c>
      <c r="K10" s="2" t="str">
        <f t="shared" si="1"/>
        <v>In Progress</v>
      </c>
      <c r="L10" s="2"/>
    </row>
  </sheetData>
  <autoFilter ref="A1:L10" xr:uid="{00000000-0009-0000-0000-000003000000}"/>
  <conditionalFormatting sqref="K2:K10">
    <cfRule type="expression" dxfId="1" priority="1">
      <formula>$K2="Pass"</formula>
    </cfRule>
    <cfRule type="expression" dxfId="0" priority="2">
      <formula>OR($K2="Failing",$K2="At Risk")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tabSelected="1" workbookViewId="0">
      <pane ySplit="1" topLeftCell="A2" activePane="bottomLeft" state="frozen"/>
      <selection pane="bottomLeft" activeCell="B15" sqref="B15"/>
    </sheetView>
  </sheetViews>
  <sheetFormatPr baseColWidth="10" defaultColWidth="9.140625" defaultRowHeight="15" x14ac:dyDescent="0.25"/>
  <cols>
    <col min="1" max="1" width="30" customWidth="1"/>
    <col min="2" max="2" width="18" customWidth="1"/>
  </cols>
  <sheetData>
    <row r="1" spans="1:2" x14ac:dyDescent="0.25">
      <c r="A1" s="1" t="s">
        <v>104</v>
      </c>
      <c r="B1" s="1" t="s">
        <v>105</v>
      </c>
    </row>
    <row r="2" spans="1:2" x14ac:dyDescent="0.25">
      <c r="A2" s="2" t="s">
        <v>106</v>
      </c>
      <c r="B2" s="2">
        <f>COUNTA(Requirements!A2:A199)</f>
        <v>9</v>
      </c>
    </row>
    <row r="3" spans="1:2" x14ac:dyDescent="0.25">
      <c r="A3" s="2" t="s">
        <v>118</v>
      </c>
      <c r="B3" s="2">
        <f>COUNTIF(Traceability!E2:E199,"&gt;0")</f>
        <v>8</v>
      </c>
    </row>
    <row r="4" spans="1:2" x14ac:dyDescent="0.25">
      <c r="A4" s="2" t="s">
        <v>107</v>
      </c>
      <c r="B4" s="3">
        <f>IF(B2=0,0,B3/B2)</f>
        <v>0.88888888888888884</v>
      </c>
    </row>
    <row r="5" spans="1:2" x14ac:dyDescent="0.25">
      <c r="A5" s="2" t="s">
        <v>108</v>
      </c>
      <c r="B5" s="2">
        <f>COUNTA('Test Cases'!A2:A195)</f>
        <v>7</v>
      </c>
    </row>
    <row r="6" spans="1:2" x14ac:dyDescent="0.25">
      <c r="A6" s="2" t="s">
        <v>109</v>
      </c>
      <c r="B6" s="2">
        <f>COUNTIF('Test Cases'!I2:I195,"PASS")+COUNTIF('Test Cases'!I2:I195,"FAIL")+COUNTIF('Test Cases'!I2:I195,"BLOCKED")</f>
        <v>7</v>
      </c>
    </row>
    <row r="7" spans="1:2" x14ac:dyDescent="0.25">
      <c r="A7" s="2" t="s">
        <v>119</v>
      </c>
      <c r="B7" s="3">
        <f>IF(B6=0,0,COUNTIF('Test Cases'!I2:I195,"PASS")/B6)</f>
        <v>0.7142857142857143</v>
      </c>
    </row>
    <row r="8" spans="1:2" x14ac:dyDescent="0.25">
      <c r="A8" s="2" t="s">
        <v>110</v>
      </c>
      <c r="B8" s="2">
        <f>COUNTA(Defects!A2:A197)</f>
        <v>1</v>
      </c>
    </row>
    <row r="9" spans="1:2" x14ac:dyDescent="0.25">
      <c r="A9" s="2" t="s">
        <v>111</v>
      </c>
      <c r="B9" s="2">
        <f>COUNTIF(Defects!E2:E197,"Open")+COUNTIF(Defects!E2:E197,"In Progress")</f>
        <v>1</v>
      </c>
    </row>
  </sheetData>
  <autoFilter ref="A1:B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Requirements</vt:lpstr>
      <vt:lpstr>Test Cases</vt:lpstr>
      <vt:lpstr>Defects</vt:lpstr>
      <vt:lpstr>Traceability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Zair De Jesus Osorio Orozco</cp:lastModifiedBy>
  <dcterms:created xsi:type="dcterms:W3CDTF">2026-02-15T14:04:06Z</dcterms:created>
  <dcterms:modified xsi:type="dcterms:W3CDTF">2026-02-15T15:00:32Z</dcterms:modified>
</cp:coreProperties>
</file>